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atica" sheetId="1" r:id="rId4"/>
  </sheets>
  <definedNames>
    <definedName hidden="1" localSheetId="0" name="_xlnm._FilterDatabase">Informatica!$A$1:$R$49</definedName>
  </definedNames>
  <calcPr/>
  <extLst>
    <ext uri="GoogleSheetsCustomDataVersion2">
      <go:sheetsCustomData xmlns:go="http://customooxmlschemas.google.com/" r:id="rId5" roundtripDataChecksum="/4d/tLj/9CRJ1MYYIWcjoFYmbUQZxKHRm9yz4YGegMs="/>
    </ext>
  </extLst>
</workbook>
</file>

<file path=xl/sharedStrings.xml><?xml version="1.0" encoding="utf-8"?>
<sst xmlns="http://schemas.openxmlformats.org/spreadsheetml/2006/main" count="100" uniqueCount="53">
  <si>
    <t>categoria</t>
  </si>
  <si>
    <t>nne</t>
  </si>
  <si>
    <t>descripcion</t>
  </si>
  <si>
    <t>valor</t>
  </si>
  <si>
    <t>MED</t>
  </si>
  <si>
    <t>CARTICAINA + ADRENALINA - Al 4 % (como clorhidrato) + L-adrenalina base 1:100.000, inyectable, en anestubo x 1,8 ml</t>
  </si>
  <si>
    <t>SOLUCION HIPERTONICA DE CLORURO DE SODIO - Al 7% ( 7 g/100ml ), para inhalar, en ampolla monodosis</t>
  </si>
  <si>
    <t>FOLICO ACIDO - De 5 mg/ml, solución, en frasco gotero x 20 ml</t>
  </si>
  <si>
    <t>PERMETRINA - Al 1 %, loción, en frasco x 60 ml</t>
  </si>
  <si>
    <t>ANHIDRIDO CARBONICO Modelo: Al 99% de CO2 V/V, según Farmacopea Nacional Argentina vigente, envasado en cilindro.</t>
  </si>
  <si>
    <t>LOPERAMIDA CLORHIDRATO - De 2 mg/10 ml, solución, en frasco x 60 ml</t>
  </si>
  <si>
    <t>PARICALCITOL - De 5 µg, inyectable intravenoso, conteniendo 30 % de propilenglicol y 20 % de etanol, en frasco ampolla x 1 ml</t>
  </si>
  <si>
    <t>LIDOCAINA CLORHIDRATO - Al 2 %, inyectable, en anestubo x 1,8 ml</t>
  </si>
  <si>
    <t>GENTAMICINA - De 20 mg, inyectable, en ampolla x 2 ml</t>
  </si>
  <si>
    <t>LORATADINA - Al 0,1 %, jarabe, en frasco x 60 ml</t>
  </si>
  <si>
    <t>CEFIXIMA - Al 2 %, suspensión, en frasco x 60 ml</t>
  </si>
  <si>
    <t>CLORHEXIDINA . Modelo: Al 2%, solución acuosa</t>
  </si>
  <si>
    <t>CLORHEXIDINA DIGLUCONATO . Modelo: Al 20 %, solución, en frasco x 1000 mlMAGEL VTO. 03/27</t>
  </si>
  <si>
    <t>LEVETIRACETAM . Modelo: De 100 mg/ml, solución oral</t>
  </si>
  <si>
    <t>HIDROCORTISONA - Al 0,1 %, crema, en pomo x 30 g</t>
  </si>
  <si>
    <t>MUPIROCINA . Modelo: Al 2 %, ungüento nasal, en pomo x 3 g</t>
  </si>
  <si>
    <t>PILOCARPINA - Al 2 %, solución oftálmica, en frasco gotero x 5 ml</t>
  </si>
  <si>
    <t>CARBAMAZEPINA - Al 2 %, jarabe, en frasco x 120 ml</t>
  </si>
  <si>
    <t>PARACETAMOL - Al 2,4 %, jarabe, en frasco x 120 ml</t>
  </si>
  <si>
    <t>ALBUMINA HUMANA.Al 20 %, solución, en frasco x 50 ml</t>
  </si>
  <si>
    <t>MIDAZOLAM - De 50 mg, inyectable, en ampolla x 10 ml</t>
  </si>
  <si>
    <t>HIDROCORTISONA - Al 2 %, crema, en pomo x 15 g</t>
  </si>
  <si>
    <t>INMUNOGLOBULINA HUMANA.De 500 mg, inyectable, en frasco ampolla, uso intramuscular 5 ml.</t>
  </si>
  <si>
    <t>LEVOFLOXACINA - De 500 mg, inyectable, en sachet x 100 ml, uso intravenoso</t>
  </si>
  <si>
    <t>SALES DE REHIDRATACION ORAL - De 3,5 g de Sodio, cloruro + 1,5 g Potasio, cloruro + 2,5 g bicarbonato de sodio + 20 g de glucosa anhidra, polvo para solución oral, en sobre de 27,5 g</t>
  </si>
  <si>
    <t>PREGABALINA - De 25 mg, en comprimido</t>
  </si>
  <si>
    <t>VITAMINA B1 - De 300 mg, en comprimido</t>
  </si>
  <si>
    <t>INDOMETACINA . Modelo: De 1 mg, en jeringa prellenada x 1 ml</t>
  </si>
  <si>
    <t>PANTOPRAZOL - De 40mg, liofilizado, inyectable, en frasco ampolla.</t>
  </si>
  <si>
    <t>ANFOTERICINA De 50 mg, en liposomas, inyectable liofilizado + ampolla de solvente, uso endovenoso</t>
  </si>
  <si>
    <t>MESALAZINA - De 1 g, granulado, de liberación lenta, envasado en sobre individual</t>
  </si>
  <si>
    <t>CALCIO CARBONATO - De 500 mg, en comprimido</t>
  </si>
  <si>
    <t>MISOPROSTOL . Modelo: De 25 µg, en comprimido vaginal</t>
  </si>
  <si>
    <t>FLUORESCEINA SODICA - Al 1 %, solución de Grant oftálmica, gotas, en frasco gotero</t>
  </si>
  <si>
    <t>FACTOR DE COAGULACIÓN VIII.De 500 UI, en frasco ampolla</t>
  </si>
  <si>
    <t>AMIKACINA - De 100 mg (como sulfato), inyectable, en ampolla x 2 ml, uso intramuscular y endovenoso</t>
  </si>
  <si>
    <t>DILTIAZEM - De 25 mg, inyectable, liofilizado, en frasco ampolla + solvente x 5 ml</t>
  </si>
  <si>
    <t>GLICINA Al 1,5 %, solución parenteral, en sachet flexible x 2000 mlMARCA: TECSOLPAR</t>
  </si>
  <si>
    <t>IBUPROFENO - De 600mg, inyectable en sachet o frasco ampolla por 100ml.</t>
  </si>
  <si>
    <t>ZINC OXIDO con cierre hermético Modelo: Pomada de oxido de zinc compuesta (Pasta Lassar), según Farmacopea Nacional Ar</t>
  </si>
  <si>
    <t>SODIO, HIALURONATO - De 30 mg/ml, solución viscoelástica de uso intraocular, en jeringa prellenada x 0,85 ml</t>
  </si>
  <si>
    <t>HIERRO FUMARATO + VITAMINA B12 + FOLICO, ACIDO + ASCORBICO, ACIDO - Ferroso fumarato 350 mg + Ascórbico, ácido 150 mg + Hidroxicobalamina 15 mg + Fólico, ácido 2 mg</t>
  </si>
  <si>
    <t>CASEINATO DE CALCIO Componente: Concentrado protéico de alto valor biológico para utilizar en dietas líquidas Fórmula ap</t>
  </si>
  <si>
    <t>ALMIDON DE MAIZ MODIFICADO Composición aproximada por 100 gramos de producto: Carbohidratos: 91a 93 g (100% polisacári</t>
  </si>
  <si>
    <t>NUTRICION ENTERAL . Modelo: Líquida, isotónica, de bajos residuos, con alto contenido en nitrógeno, libre de lactosa, sa</t>
  </si>
  <si>
    <t>SUPLEMENTO NUTRICIONAL Composición aproximada en 100 g. de polvo: Proteínas:(caseína y soja) 15 a 19 g. Grasas: 14 a 19</t>
  </si>
  <si>
    <t>NUTRICION ENTERAL Fórmula aproximada por 100 mililitros: Proteínas(caseinato de calcio y/o sodio y/o soja):de 3,8 a 4,6</t>
  </si>
  <si>
    <t>MORFINA CLORHIDRATO . Modelo: Producto farmacéutico básico, según Farmacopea Nacional Argentina vigente, con protocolo 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</si>
</sst>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rial"/>
      <scheme val="minor"/>
    </font>
    <font>
      <sz val="11.0"/>
      <color theme="1"/>
      <name val="Arial"/>
    </font>
    <font>
      <b/>
      <sz val="11.0"/>
      <color rgb="FFFFFFFF"/>
      <name val="Arial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2" fontId="2" numFmtId="0" xfId="0" applyAlignment="1" applyBorder="1" applyFill="1" applyFont="1">
      <alignment horizontal="center" vertical="bottom"/>
    </xf>
    <xf borderId="1" fillId="2" fontId="2" numFmtId="49" xfId="0" applyAlignment="1" applyBorder="1" applyFill="1" applyFont="1" applyNumberFormat="1">
      <alignment horizontal="center" vertical="bottom"/>
    </xf>
    <xf borderId="0" fillId="0" fontId="3" numFmtId="0" xfId="0" applyAlignment="1" applyFont="1">
      <alignment vertical="bottom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shrinkToFit="0" vertical="bottom" wrapText="1"/>
    </xf>
    <xf borderId="1" fillId="0" fontId="3" numFmtId="2" xfId="0" applyAlignment="1" applyBorder="1" applyFont="1" applyNumberFormat="1">
      <alignment vertical="bottom"/>
    </xf>
    <xf borderId="1" fillId="3" fontId="3" numFmtId="0" xfId="0" applyAlignment="1" applyBorder="1" applyFill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.13"/>
    <col customWidth="1" min="2" max="2" width="10.5"/>
    <col customWidth="1" min="3" max="3" width="8.75"/>
    <col customWidth="1" min="4" max="4" width="100.88"/>
    <col customWidth="1" min="5" max="5" width="17.5"/>
    <col customWidth="1" min="6" max="6" width="8.88"/>
    <col customWidth="1" min="7" max="18" width="7.5"/>
  </cols>
  <sheetData>
    <row r="1" ht="15.0" customHeight="1">
      <c r="A1" s="1"/>
      <c r="B1" s="2" t="s">
        <v>0</v>
      </c>
      <c r="C1" s="2" t="s">
        <v>1</v>
      </c>
      <c r="D1" s="2" t="s">
        <v>2</v>
      </c>
      <c r="E1" s="3" t="s">
        <v>3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15.0" customHeight="1">
      <c r="A2" s="4"/>
      <c r="B2" s="5" t="s">
        <v>4</v>
      </c>
      <c r="C2" s="6">
        <v>39.0</v>
      </c>
      <c r="D2" s="6" t="s">
        <v>5</v>
      </c>
      <c r="E2" s="7">
        <v>1788.52</v>
      </c>
      <c r="F2" s="4" t="str">
        <f t="shared" ref="F2:F49" si="1">VLOOKUP(C2,'Exportar Hoja de Trabajo (1)'!B:F,5,FALSE())</f>
        <v>#REF!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ht="15.0" customHeight="1">
      <c r="A3" s="4"/>
      <c r="B3" s="5" t="s">
        <v>4</v>
      </c>
      <c r="C3" s="6">
        <v>84.0</v>
      </c>
      <c r="D3" s="6" t="s">
        <v>6</v>
      </c>
      <c r="E3" s="7">
        <v>4845.7</v>
      </c>
      <c r="F3" s="4" t="str">
        <f t="shared" si="1"/>
        <v>#REF!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ht="15.0" customHeight="1">
      <c r="A4" s="4"/>
      <c r="B4" s="5" t="s">
        <v>4</v>
      </c>
      <c r="C4" s="6">
        <v>118.0</v>
      </c>
      <c r="D4" s="6" t="s">
        <v>7</v>
      </c>
      <c r="E4" s="7">
        <v>3507.84</v>
      </c>
      <c r="F4" s="4" t="str">
        <f t="shared" si="1"/>
        <v>#REF!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ht="15.0" customHeight="1">
      <c r="A5" s="4"/>
      <c r="B5" s="5" t="s">
        <v>4</v>
      </c>
      <c r="C5" s="6">
        <v>134.0</v>
      </c>
      <c r="D5" s="6" t="s">
        <v>8</v>
      </c>
      <c r="E5" s="7">
        <v>4060.45</v>
      </c>
      <c r="F5" s="4" t="str">
        <f t="shared" si="1"/>
        <v>#REF!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ht="15.0" customHeight="1">
      <c r="A6" s="4"/>
      <c r="B6" s="5" t="s">
        <v>4</v>
      </c>
      <c r="C6" s="6">
        <v>516.0</v>
      </c>
      <c r="D6" s="6" t="s">
        <v>9</v>
      </c>
      <c r="E6" s="7">
        <v>53730.89</v>
      </c>
      <c r="F6" s="4" t="str">
        <f t="shared" si="1"/>
        <v>#REF!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ht="15.0" customHeight="1">
      <c r="A7" s="4"/>
      <c r="B7" s="5" t="s">
        <v>4</v>
      </c>
      <c r="C7" s="6">
        <v>681.0</v>
      </c>
      <c r="D7" s="6" t="s">
        <v>10</v>
      </c>
      <c r="E7" s="7">
        <v>9275.88</v>
      </c>
      <c r="F7" s="4" t="str">
        <f t="shared" si="1"/>
        <v>#REF!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 ht="15.0" customHeight="1">
      <c r="A8" s="4"/>
      <c r="B8" s="5" t="s">
        <v>4</v>
      </c>
      <c r="C8" s="6">
        <v>1166.0</v>
      </c>
      <c r="D8" s="6" t="s">
        <v>11</v>
      </c>
      <c r="E8" s="7">
        <v>30065.23</v>
      </c>
      <c r="F8" s="4" t="str">
        <f t="shared" si="1"/>
        <v>#REF!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</row>
    <row r="9" ht="15.0" customHeight="1">
      <c r="A9" s="4"/>
      <c r="B9" s="5" t="s">
        <v>4</v>
      </c>
      <c r="C9" s="6">
        <v>1242.0</v>
      </c>
      <c r="D9" s="6" t="s">
        <v>12</v>
      </c>
      <c r="E9" s="7">
        <v>995.28</v>
      </c>
      <c r="F9" s="4" t="str">
        <f t="shared" si="1"/>
        <v>#REF!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</row>
    <row r="10" ht="15.0" customHeight="1">
      <c r="A10" s="4"/>
      <c r="B10" s="5" t="s">
        <v>4</v>
      </c>
      <c r="C10" s="6">
        <v>1293.0</v>
      </c>
      <c r="D10" s="6" t="s">
        <v>13</v>
      </c>
      <c r="E10" s="7">
        <v>429.86</v>
      </c>
      <c r="F10" s="4" t="str">
        <f t="shared" si="1"/>
        <v>#REF!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</row>
    <row r="11" ht="15.0" customHeight="1">
      <c r="A11" s="4"/>
      <c r="B11" s="5" t="s">
        <v>4</v>
      </c>
      <c r="C11" s="6">
        <v>1500.0</v>
      </c>
      <c r="D11" s="6" t="s">
        <v>14</v>
      </c>
      <c r="E11" s="7">
        <v>3359.93</v>
      </c>
      <c r="F11" s="4" t="str">
        <f t="shared" si="1"/>
        <v>#REF!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</row>
    <row r="12" ht="15.0" customHeight="1">
      <c r="A12" s="4"/>
      <c r="B12" s="5" t="s">
        <v>4</v>
      </c>
      <c r="C12" s="6">
        <v>1579.0</v>
      </c>
      <c r="D12" s="6" t="s">
        <v>15</v>
      </c>
      <c r="E12" s="7">
        <v>35286.97</v>
      </c>
      <c r="F12" s="4" t="str">
        <f t="shared" si="1"/>
        <v>#REF!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</row>
    <row r="13" ht="15.75" customHeight="1">
      <c r="A13" s="4"/>
      <c r="B13" s="5" t="s">
        <v>4</v>
      </c>
      <c r="C13" s="6">
        <v>1761.0</v>
      </c>
      <c r="D13" s="6" t="s">
        <v>16</v>
      </c>
      <c r="E13" s="7">
        <v>4884.3</v>
      </c>
      <c r="F13" s="4" t="str">
        <f t="shared" si="1"/>
        <v>#REF!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</row>
    <row r="14" ht="15.75" customHeight="1">
      <c r="A14" s="1"/>
      <c r="B14" s="5" t="s">
        <v>4</v>
      </c>
      <c r="C14" s="8">
        <v>51622.0</v>
      </c>
      <c r="D14" s="6" t="s">
        <v>17</v>
      </c>
      <c r="E14" s="7">
        <v>23083.81</v>
      </c>
      <c r="F14" s="4" t="str">
        <f t="shared" si="1"/>
        <v>#REF!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ht="15.75" customHeight="1">
      <c r="A15" s="4"/>
      <c r="B15" s="5" t="s">
        <v>4</v>
      </c>
      <c r="C15" s="6">
        <v>1799.0</v>
      </c>
      <c r="D15" s="6" t="s">
        <v>18</v>
      </c>
      <c r="E15" s="7">
        <v>43613.6</v>
      </c>
      <c r="F15" s="4" t="str">
        <f t="shared" si="1"/>
        <v>#REF!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</row>
    <row r="16" ht="15.75" customHeight="1">
      <c r="A16" s="4"/>
      <c r="B16" s="5" t="s">
        <v>4</v>
      </c>
      <c r="C16" s="6">
        <v>2294.0</v>
      </c>
      <c r="D16" s="6" t="s">
        <v>19</v>
      </c>
      <c r="E16" s="7">
        <v>1027.15</v>
      </c>
      <c r="F16" s="4" t="str">
        <f t="shared" si="1"/>
        <v>#REF!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ht="15.75" customHeight="1">
      <c r="A17" s="4"/>
      <c r="B17" s="5" t="s">
        <v>4</v>
      </c>
      <c r="C17" s="6">
        <v>2328.0</v>
      </c>
      <c r="D17" s="6" t="s">
        <v>20</v>
      </c>
      <c r="E17" s="7">
        <v>9496.33</v>
      </c>
      <c r="F17" s="4" t="str">
        <f t="shared" si="1"/>
        <v>#REF!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</row>
    <row r="18" ht="15.75" customHeight="1">
      <c r="A18" s="4"/>
      <c r="B18" s="5" t="s">
        <v>4</v>
      </c>
      <c r="C18" s="6">
        <v>2371.0</v>
      </c>
      <c r="D18" s="6" t="s">
        <v>21</v>
      </c>
      <c r="E18" s="7">
        <v>6180.68</v>
      </c>
      <c r="F18" s="4" t="str">
        <f t="shared" si="1"/>
        <v>#REF!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</row>
    <row r="19" ht="15.75" customHeight="1">
      <c r="A19" s="4"/>
      <c r="B19" s="5" t="s">
        <v>4</v>
      </c>
      <c r="C19" s="6">
        <v>2498.0</v>
      </c>
      <c r="D19" s="6" t="s">
        <v>22</v>
      </c>
      <c r="E19" s="7">
        <v>9257.23</v>
      </c>
      <c r="F19" s="4" t="str">
        <f t="shared" si="1"/>
        <v>#REF!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</row>
    <row r="20" ht="15.75" customHeight="1">
      <c r="A20" s="4"/>
      <c r="B20" s="5" t="s">
        <v>4</v>
      </c>
      <c r="C20" s="6">
        <v>2503.0</v>
      </c>
      <c r="D20" s="6" t="s">
        <v>23</v>
      </c>
      <c r="E20" s="7">
        <v>5552.53</v>
      </c>
      <c r="F20" s="4" t="str">
        <f t="shared" si="1"/>
        <v>#REF!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</row>
    <row r="21" ht="15.75" customHeight="1">
      <c r="A21" s="1"/>
      <c r="B21" s="5" t="s">
        <v>4</v>
      </c>
      <c r="C21" s="6">
        <v>2825.0</v>
      </c>
      <c r="D21" s="6" t="s">
        <v>24</v>
      </c>
      <c r="E21" s="7">
        <v>48542.4</v>
      </c>
      <c r="F21" s="4" t="str">
        <f t="shared" si="1"/>
        <v>#REF!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ht="15.75" customHeight="1">
      <c r="A22" s="4"/>
      <c r="B22" s="5" t="s">
        <v>4</v>
      </c>
      <c r="C22" s="6">
        <v>2830.0</v>
      </c>
      <c r="D22" s="6" t="s">
        <v>25</v>
      </c>
      <c r="E22" s="7">
        <v>7163.99</v>
      </c>
      <c r="F22" s="4" t="str">
        <f t="shared" si="1"/>
        <v>#REF!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</row>
    <row r="23" ht="15.75" customHeight="1">
      <c r="A23" s="4"/>
      <c r="B23" s="5" t="s">
        <v>4</v>
      </c>
      <c r="C23" s="6">
        <v>2905.0</v>
      </c>
      <c r="D23" s="6" t="s">
        <v>26</v>
      </c>
      <c r="E23" s="7">
        <v>1239.12</v>
      </c>
      <c r="F23" s="4" t="str">
        <f t="shared" si="1"/>
        <v>#REF!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</row>
    <row r="24" ht="15.75" customHeight="1">
      <c r="A24" s="1"/>
      <c r="B24" s="5" t="s">
        <v>4</v>
      </c>
      <c r="C24" s="6">
        <v>2974.0</v>
      </c>
      <c r="D24" s="6" t="s">
        <v>27</v>
      </c>
      <c r="E24" s="7">
        <v>33716.4</v>
      </c>
      <c r="F24" s="4" t="str">
        <f t="shared" si="1"/>
        <v>#REF!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ht="15.75" customHeight="1">
      <c r="A25" s="4"/>
      <c r="B25" s="5" t="s">
        <v>4</v>
      </c>
      <c r="C25" s="6">
        <v>3220.0</v>
      </c>
      <c r="D25" s="6" t="s">
        <v>28</v>
      </c>
      <c r="E25" s="7">
        <v>4658.16</v>
      </c>
      <c r="F25" s="4" t="str">
        <f t="shared" si="1"/>
        <v>#REF!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</row>
    <row r="26" ht="15.75" customHeight="1">
      <c r="A26" s="4"/>
      <c r="B26" s="5" t="s">
        <v>4</v>
      </c>
      <c r="C26" s="6">
        <v>3452.0</v>
      </c>
      <c r="D26" s="6" t="s">
        <v>29</v>
      </c>
      <c r="E26" s="7">
        <v>1386.44</v>
      </c>
      <c r="F26" s="4" t="str">
        <f t="shared" si="1"/>
        <v>#REF!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</row>
    <row r="27" ht="15.75" customHeight="1">
      <c r="A27" s="4"/>
      <c r="B27" s="5" t="s">
        <v>4</v>
      </c>
      <c r="C27" s="6">
        <v>3559.0</v>
      </c>
      <c r="D27" s="6" t="s">
        <v>30</v>
      </c>
      <c r="E27" s="7">
        <v>276.96</v>
      </c>
      <c r="F27" s="4" t="str">
        <f t="shared" si="1"/>
        <v>#REF!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</row>
    <row r="28" ht="15.75" customHeight="1">
      <c r="A28" s="4"/>
      <c r="B28" s="5" t="s">
        <v>4</v>
      </c>
      <c r="C28" s="6">
        <v>4134.0</v>
      </c>
      <c r="D28" s="6" t="s">
        <v>31</v>
      </c>
      <c r="E28" s="7">
        <v>582.42</v>
      </c>
      <c r="F28" s="4" t="str">
        <f t="shared" si="1"/>
        <v>#REF!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</row>
    <row r="29" ht="15.75" customHeight="1">
      <c r="A29" s="1"/>
      <c r="B29" s="5" t="s">
        <v>4</v>
      </c>
      <c r="C29" s="6">
        <v>4751.0</v>
      </c>
      <c r="D29" s="6" t="s">
        <v>32</v>
      </c>
      <c r="E29" s="7">
        <v>187761.08</v>
      </c>
      <c r="F29" s="4" t="str">
        <f t="shared" si="1"/>
        <v>#REF!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ht="15.75" customHeight="1">
      <c r="A30" s="4"/>
      <c r="B30" s="5" t="s">
        <v>4</v>
      </c>
      <c r="C30" s="6">
        <v>4774.0</v>
      </c>
      <c r="D30" s="6" t="s">
        <v>33</v>
      </c>
      <c r="E30" s="7">
        <v>4365.62</v>
      </c>
      <c r="F30" s="4" t="str">
        <f t="shared" si="1"/>
        <v>#REF!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</row>
    <row r="31" ht="15.75" customHeight="1">
      <c r="A31" s="1"/>
      <c r="B31" s="5" t="s">
        <v>4</v>
      </c>
      <c r="C31" s="6">
        <v>4917.0</v>
      </c>
      <c r="D31" s="6" t="s">
        <v>34</v>
      </c>
      <c r="E31" s="7">
        <v>378341.74</v>
      </c>
      <c r="F31" s="4" t="str">
        <f t="shared" si="1"/>
        <v>#REF!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ht="15.75" customHeight="1">
      <c r="A32" s="4"/>
      <c r="B32" s="5" t="s">
        <v>4</v>
      </c>
      <c r="C32" s="6">
        <v>5470.0</v>
      </c>
      <c r="D32" s="6" t="s">
        <v>35</v>
      </c>
      <c r="E32" s="7">
        <v>3536.04</v>
      </c>
      <c r="F32" s="4" t="str">
        <f t="shared" si="1"/>
        <v>#REF!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</row>
    <row r="33" ht="15.75" customHeight="1">
      <c r="A33" s="4"/>
      <c r="B33" s="5" t="s">
        <v>4</v>
      </c>
      <c r="C33" s="6">
        <v>7786.0</v>
      </c>
      <c r="D33" s="6" t="s">
        <v>36</v>
      </c>
      <c r="E33" s="7">
        <v>256.69</v>
      </c>
      <c r="F33" s="4" t="str">
        <f t="shared" si="1"/>
        <v>#REF!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</row>
    <row r="34" ht="15.75" customHeight="1">
      <c r="A34" s="1"/>
      <c r="B34" s="5" t="s">
        <v>4</v>
      </c>
      <c r="C34" s="6">
        <v>10775.0</v>
      </c>
      <c r="D34" s="6" t="s">
        <v>37</v>
      </c>
      <c r="E34" s="7">
        <v>3478.92</v>
      </c>
      <c r="F34" s="4" t="str">
        <f t="shared" si="1"/>
        <v>#REF!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ht="15.75" customHeight="1">
      <c r="A35" s="4"/>
      <c r="B35" s="5" t="s">
        <v>4</v>
      </c>
      <c r="C35" s="6">
        <v>10934.0</v>
      </c>
      <c r="D35" s="6" t="s">
        <v>38</v>
      </c>
      <c r="E35" s="7">
        <v>11140.52</v>
      </c>
      <c r="F35" s="4" t="str">
        <f t="shared" si="1"/>
        <v>#REF!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</row>
    <row r="36" ht="15.75" customHeight="1">
      <c r="A36" s="1"/>
      <c r="B36" s="5" t="s">
        <v>4</v>
      </c>
      <c r="C36" s="6">
        <v>11056.0</v>
      </c>
      <c r="D36" s="6" t="s">
        <v>39</v>
      </c>
      <c r="E36" s="7">
        <v>153600.0</v>
      </c>
      <c r="F36" s="4" t="str">
        <f t="shared" si="1"/>
        <v>#REF!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ht="15.75" customHeight="1">
      <c r="A37" s="4"/>
      <c r="B37" s="5" t="s">
        <v>4</v>
      </c>
      <c r="C37" s="6">
        <v>11525.0</v>
      </c>
      <c r="D37" s="6" t="s">
        <v>40</v>
      </c>
      <c r="E37" s="7">
        <v>602.52</v>
      </c>
      <c r="F37" s="4" t="str">
        <f t="shared" si="1"/>
        <v>#REF!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</row>
    <row r="38" ht="15.75" customHeight="1">
      <c r="A38" s="4"/>
      <c r="B38" s="5" t="s">
        <v>4</v>
      </c>
      <c r="C38" s="6">
        <v>11952.0</v>
      </c>
      <c r="D38" s="6" t="s">
        <v>41</v>
      </c>
      <c r="E38" s="7">
        <v>11206.25</v>
      </c>
      <c r="F38" s="4" t="str">
        <f t="shared" si="1"/>
        <v>#REF!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</row>
    <row r="39" ht="15.75" customHeight="1">
      <c r="A39" s="1"/>
      <c r="B39" s="5" t="s">
        <v>4</v>
      </c>
      <c r="C39" s="6">
        <v>12118.0</v>
      </c>
      <c r="D39" s="6" t="s">
        <v>42</v>
      </c>
      <c r="E39" s="7">
        <v>38305.77</v>
      </c>
      <c r="F39" s="4" t="str">
        <f t="shared" si="1"/>
        <v>#REF!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ht="15.75" customHeight="1">
      <c r="A40" s="4"/>
      <c r="B40" s="5" t="s">
        <v>4</v>
      </c>
      <c r="C40" s="6">
        <v>12197.0</v>
      </c>
      <c r="D40" s="6" t="s">
        <v>43</v>
      </c>
      <c r="E40" s="7">
        <v>14766.54</v>
      </c>
      <c r="F40" s="4" t="str">
        <f t="shared" si="1"/>
        <v>#REF!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</row>
    <row r="41" ht="15.75" customHeight="1">
      <c r="A41" s="1"/>
      <c r="B41" s="5" t="s">
        <v>4</v>
      </c>
      <c r="C41" s="6">
        <v>12482.0</v>
      </c>
      <c r="D41" s="6" t="s">
        <v>44</v>
      </c>
      <c r="E41" s="7">
        <v>4898.12</v>
      </c>
      <c r="F41" s="4" t="str">
        <f t="shared" si="1"/>
        <v>#REF!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ht="15.75" customHeight="1">
      <c r="A42" s="4"/>
      <c r="B42" s="5" t="s">
        <v>4</v>
      </c>
      <c r="C42" s="6">
        <v>51562.0</v>
      </c>
      <c r="D42" s="6" t="s">
        <v>45</v>
      </c>
      <c r="E42" s="7">
        <v>51382.64</v>
      </c>
      <c r="F42" s="4" t="str">
        <f t="shared" si="1"/>
        <v>#REF!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</row>
    <row r="43" ht="15.75" customHeight="1">
      <c r="A43" s="4"/>
      <c r="B43" s="5" t="s">
        <v>4</v>
      </c>
      <c r="C43" s="6">
        <v>1549326.0</v>
      </c>
      <c r="D43" s="6" t="s">
        <v>46</v>
      </c>
      <c r="E43" s="7">
        <v>512.77</v>
      </c>
      <c r="F43" s="4" t="str">
        <f t="shared" si="1"/>
        <v>#REF!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</row>
    <row r="44" ht="15.75" customHeight="1">
      <c r="A44" s="1"/>
      <c r="B44" s="5" t="s">
        <v>4</v>
      </c>
      <c r="C44" s="6">
        <v>2422109.0</v>
      </c>
      <c r="D44" s="6" t="s">
        <v>47</v>
      </c>
      <c r="E44" s="7">
        <v>77140.12</v>
      </c>
      <c r="F44" s="4" t="str">
        <f t="shared" si="1"/>
        <v>#REF!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ht="15.75" customHeight="1">
      <c r="A45" s="1"/>
      <c r="B45" s="5" t="s">
        <v>4</v>
      </c>
      <c r="C45" s="6">
        <v>2440997.0</v>
      </c>
      <c r="D45" s="6" t="s">
        <v>48</v>
      </c>
      <c r="E45" s="7">
        <v>53414.05</v>
      </c>
      <c r="F45" s="4" t="str">
        <f t="shared" si="1"/>
        <v>#REF!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ht="15.75" customHeight="1">
      <c r="A46" s="1"/>
      <c r="B46" s="5" t="s">
        <v>4</v>
      </c>
      <c r="C46" s="6">
        <v>2622794.0</v>
      </c>
      <c r="D46" s="6" t="s">
        <v>49</v>
      </c>
      <c r="E46" s="7">
        <v>7434.0</v>
      </c>
      <c r="F46" s="4" t="str">
        <f t="shared" si="1"/>
        <v>#REF!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ht="15.75" customHeight="1">
      <c r="A47" s="1"/>
      <c r="B47" s="5" t="s">
        <v>4</v>
      </c>
      <c r="C47" s="6">
        <v>2637747.0</v>
      </c>
      <c r="D47" s="6" t="s">
        <v>50</v>
      </c>
      <c r="E47" s="7">
        <v>43487.4</v>
      </c>
      <c r="F47" s="4" t="str">
        <f t="shared" si="1"/>
        <v>#REF!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ht="15.75" customHeight="1">
      <c r="A48" s="1"/>
      <c r="B48" s="5" t="s">
        <v>4</v>
      </c>
      <c r="C48" s="6">
        <v>3139066.0</v>
      </c>
      <c r="D48" s="6" t="s">
        <v>51</v>
      </c>
      <c r="E48" s="7">
        <v>8394.0</v>
      </c>
      <c r="F48" s="4" t="str">
        <f t="shared" si="1"/>
        <v>#REF!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ht="15.75" customHeight="1">
      <c r="A49" s="1"/>
      <c r="B49" s="5" t="s">
        <v>4</v>
      </c>
      <c r="C49" s="6">
        <v>7358173.0</v>
      </c>
      <c r="D49" s="6" t="s">
        <v>52</v>
      </c>
      <c r="E49" s="7">
        <v>564917.52</v>
      </c>
      <c r="F49" s="4" t="str">
        <f t="shared" si="1"/>
        <v>#REF!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</row>
  </sheetData>
  <autoFilter ref="$A$1:$R$49"/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2026-06-04T17:08:40Z</dcterms:created>
  <dc:creator>openpyxl</dc:creator>
</cp:coreProperties>
</file>